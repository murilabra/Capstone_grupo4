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ril\Downloads\"/>
    </mc:Choice>
  </mc:AlternateContent>
  <xr:revisionPtr revIDLastSave="0" documentId="13_ncr:1_{ACDEE6BE-061E-4D6D-B047-09C8F5C6ADD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arta 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1" l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</calcChain>
</file>

<file path=xl/sharedStrings.xml><?xml version="1.0" encoding="utf-8"?>
<sst xmlns="http://schemas.openxmlformats.org/spreadsheetml/2006/main" count="85" uniqueCount="46">
  <si>
    <t>Paradero Vegano – Carta Gantt del Proyecto</t>
  </si>
  <si>
    <t>Versión 1.0 · Plan de 18 semanas (agosto – diciembre de 2026) · Las fechas y barras se recalculan al cambiar semanas, estado o fecha de inicio</t>
  </si>
  <si>
    <t>Fecha de inicio (lunes S1)</t>
  </si>
  <si>
    <t>Semana actual</t>
  </si>
  <si>
    <t>Agosto</t>
  </si>
  <si>
    <t>Septiembre</t>
  </si>
  <si>
    <t>Octubre</t>
  </si>
  <si>
    <t>Noviembre</t>
  </si>
  <si>
    <t>Diciembre</t>
  </si>
  <si>
    <t>N°</t>
  </si>
  <si>
    <t>Actividad</t>
  </si>
  <si>
    <t>Responsable</t>
  </si>
  <si>
    <t>Etapa</t>
  </si>
  <si>
    <t>Sem. inicio</t>
  </si>
  <si>
    <t>Sem. fin</t>
  </si>
  <si>
    <t>Estado</t>
  </si>
  <si>
    <t>Inicio</t>
  </si>
  <si>
    <t>Fin</t>
  </si>
  <si>
    <t>Duración (sem.)</t>
  </si>
  <si>
    <t>Definición y fundamentación del proyecto</t>
  </si>
  <si>
    <t>Muriel y Manuel</t>
  </si>
  <si>
    <t>Definición y diseño</t>
  </si>
  <si>
    <t>Completado</t>
  </si>
  <si>
    <t>Levantamiento de requerimientos y arquitectura</t>
  </si>
  <si>
    <t>Diseño UX/UI y prototipo navegable</t>
  </si>
  <si>
    <t>Manuel</t>
  </si>
  <si>
    <t>Modelado y creación de la base de datos</t>
  </si>
  <si>
    <t>Desarrollo del backend y APIs</t>
  </si>
  <si>
    <t>Desarrollo iterativo</t>
  </si>
  <si>
    <t>Desarrollo del frontend web y app móvil</t>
  </si>
  <si>
    <t>Muriel</t>
  </si>
  <si>
    <t>En curso</t>
  </si>
  <si>
    <t>Integración del módulo de IA</t>
  </si>
  <si>
    <t>Geolocalización, mapas y código de barras</t>
  </si>
  <si>
    <t>Notificaciones y módulo de inteligencia de negocios</t>
  </si>
  <si>
    <t>Modelo de suscripción para comercios</t>
  </si>
  <si>
    <t>No iniciado</t>
  </si>
  <si>
    <t>Lista de compras y recetas veganas</t>
  </si>
  <si>
    <t>Pruebas integrales y despliegue de la plataforma</t>
  </si>
  <si>
    <t>Validación con usuarios y comercios reales</t>
  </si>
  <si>
    <t>Validación y cierre</t>
  </si>
  <si>
    <t>Análisis de resultados y documentación final</t>
  </si>
  <si>
    <t>Preparación y presentación final</t>
  </si>
  <si>
    <t>Leyenda</t>
  </si>
  <si>
    <t>Con retraso</t>
  </si>
  <si>
    <t>La columna de la semana actual (S11 al 23-10-2026) se resalta automáticamente. La fecha de fin corresponde al viernes de la última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</si>
</sst>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\S0"/>
    <numFmt numFmtId="166" formatCode="dd\-mm\-yy"/>
  </numFmts>
  <fonts count="9" x14ac:knownFonts="1">
    <font>
      <sz val="11"/>
      <color theme="1"/>
      <name val="Calibri"/>
      <family val="2"/>
      <charset val="1"/>
    </font>
    <font>
      <b/>
      <sz val="16"/>
      <color rgb="FF1F5F3F"/>
      <name val="Arial"/>
      <charset val="1"/>
    </font>
    <font>
      <i/>
      <sz val="10"/>
      <color rgb="FF555555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2E7D4F"/>
        <bgColor rgb="FF1F5F3F"/>
      </patternFill>
    </fill>
    <fill>
      <patternFill patternType="solid">
        <fgColor rgb="FF1F5F3F"/>
        <bgColor rgb="FF2E7D4F"/>
      </patternFill>
    </fill>
    <fill>
      <patternFill patternType="solid">
        <fgColor rgb="FFF2B134"/>
        <bgColor rgb="FFFFCC00"/>
      </patternFill>
    </fill>
    <fill>
      <patternFill patternType="solid">
        <fgColor rgb="FFD9534F"/>
        <bgColor rgb="FFFF8080"/>
      </patternFill>
    </fill>
    <fill>
      <patternFill patternType="solid">
        <fgColor rgb="FF9AA5B1"/>
        <bgColor rgb="FF9999FF"/>
      </patternFill>
    </fill>
  </fills>
  <borders count="2">
    <border>
      <left/>
      <right/>
      <top/>
      <bottom/>
      <diagonal/>
    </border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7" fillId="0" borderId="1" xfId="0" applyFont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6">
    <dxf>
      <border diagonalUp="0" diagonalDown="0">
        <left style="medium">
          <color rgb="FFF2B134"/>
        </left>
        <right style="medium">
          <color rgb="FFF2B134"/>
        </right>
        <top/>
        <bottom/>
      </border>
    </dxf>
    <dxf>
      <fill>
        <patternFill>
          <bgColor rgb="FF9AA5B1"/>
        </patternFill>
      </fill>
    </dxf>
    <dxf>
      <fill>
        <patternFill>
          <bgColor rgb="FFD9534F"/>
        </patternFill>
      </fill>
    </dxf>
    <dxf>
      <fill>
        <patternFill>
          <bgColor rgb="FFF2B134"/>
        </patternFill>
      </fill>
    </dxf>
    <dxf>
      <fill>
        <patternFill>
          <bgColor rgb="FF2E7D4F"/>
        </patternFill>
      </fill>
    </dxf>
    <dxf>
      <font>
        <b/>
        <color rgb="FF000000"/>
        <name val="Arial"/>
        <charset val="1"/>
      </font>
      <fill>
        <patternFill>
          <bgColor rgb="FFF2B13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B134"/>
      <rgbColor rgb="FFD9534F"/>
      <rgbColor rgb="FF555555"/>
      <rgbColor rgb="FF9AA5B1"/>
      <rgbColor rgb="FF003366"/>
      <rgbColor rgb="FF2E7D4F"/>
      <rgbColor rgb="FF003300"/>
      <rgbColor rgb="FF333300"/>
      <rgbColor rgb="FF993300"/>
      <rgbColor rgb="FF993366"/>
      <rgbColor rgb="FF333399"/>
      <rgbColor rgb="FF1F5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30"/>
  <sheetViews>
    <sheetView showGridLines="0" tabSelected="1" zoomScale="60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4" sqref="B4"/>
    </sheetView>
  </sheetViews>
  <sheetFormatPr baseColWidth="10" defaultColWidth="8.6328125" defaultRowHeight="14.5" x14ac:dyDescent="0.35"/>
  <cols>
    <col min="1" max="1" width="5" customWidth="1"/>
    <col min="2" max="2" width="44" customWidth="1"/>
    <col min="3" max="3" width="17" customWidth="1"/>
    <col min="4" max="4" width="20" customWidth="1"/>
    <col min="5" max="6" width="9" customWidth="1"/>
    <col min="7" max="7" width="13" customWidth="1"/>
    <col min="8" max="10" width="11" customWidth="1"/>
    <col min="11" max="28" width="5.1796875" customWidth="1"/>
  </cols>
  <sheetData>
    <row r="1" spans="1:28" ht="20" x14ac:dyDescent="0.4">
      <c r="A1" s="3" t="s">
        <v>0</v>
      </c>
    </row>
    <row r="2" spans="1:28" x14ac:dyDescent="0.35">
      <c r="A2" s="4" t="s">
        <v>1</v>
      </c>
    </row>
    <row r="3" spans="1:28" x14ac:dyDescent="0.35">
      <c r="B3" s="5" t="s">
        <v>2</v>
      </c>
      <c r="C3" s="6">
        <v>46244</v>
      </c>
      <c r="E3" s="7"/>
    </row>
    <row r="4" spans="1:28" x14ac:dyDescent="0.35">
      <c r="B4" s="5" t="s">
        <v>3</v>
      </c>
      <c r="C4" s="8">
        <v>11</v>
      </c>
    </row>
    <row r="6" spans="1:28" ht="15" customHeight="1" x14ac:dyDescent="0.35">
      <c r="K6" s="2" t="s">
        <v>4</v>
      </c>
      <c r="L6" s="2"/>
      <c r="M6" s="2"/>
      <c r="N6" s="1" t="s">
        <v>5</v>
      </c>
      <c r="O6" s="1"/>
      <c r="P6" s="1"/>
      <c r="Q6" s="1"/>
      <c r="R6" s="2" t="s">
        <v>6</v>
      </c>
      <c r="S6" s="2"/>
      <c r="T6" s="2"/>
      <c r="U6" s="2"/>
      <c r="V6" s="2"/>
      <c r="W6" s="1" t="s">
        <v>7</v>
      </c>
      <c r="X6" s="1"/>
      <c r="Y6" s="1"/>
      <c r="Z6" s="1"/>
      <c r="AA6" s="2" t="s">
        <v>8</v>
      </c>
      <c r="AB6" s="2"/>
    </row>
    <row r="7" spans="1:28" ht="31.5" customHeight="1" x14ac:dyDescent="0.35">
      <c r="A7" s="9" t="s">
        <v>9</v>
      </c>
      <c r="B7" s="9" t="s">
        <v>10</v>
      </c>
      <c r="C7" s="9" t="s">
        <v>11</v>
      </c>
      <c r="D7" s="9" t="s">
        <v>12</v>
      </c>
      <c r="E7" s="9" t="s">
        <v>13</v>
      </c>
      <c r="F7" s="9" t="s">
        <v>14</v>
      </c>
      <c r="G7" s="9" t="s">
        <v>15</v>
      </c>
      <c r="H7" s="9" t="s">
        <v>16</v>
      </c>
      <c r="I7" s="9" t="s">
        <v>17</v>
      </c>
      <c r="J7" s="9" t="s">
        <v>18</v>
      </c>
      <c r="K7" s="10">
        <v>1</v>
      </c>
      <c r="L7" s="10">
        <v>2</v>
      </c>
      <c r="M7" s="10">
        <v>3</v>
      </c>
      <c r="N7" s="10">
        <v>4</v>
      </c>
      <c r="O7" s="10">
        <v>5</v>
      </c>
      <c r="P7" s="10">
        <v>6</v>
      </c>
      <c r="Q7" s="10">
        <v>7</v>
      </c>
      <c r="R7" s="10">
        <v>8</v>
      </c>
      <c r="S7" s="10">
        <v>9</v>
      </c>
      <c r="T7" s="10">
        <v>10</v>
      </c>
      <c r="U7" s="10">
        <v>11</v>
      </c>
      <c r="V7" s="10">
        <v>12</v>
      </c>
      <c r="W7" s="10">
        <v>13</v>
      </c>
      <c r="X7" s="10">
        <v>14</v>
      </c>
      <c r="Y7" s="10">
        <v>15</v>
      </c>
      <c r="Z7" s="10">
        <v>16</v>
      </c>
      <c r="AA7" s="10">
        <v>17</v>
      </c>
      <c r="AB7" s="10">
        <v>18</v>
      </c>
    </row>
    <row r="8" spans="1:28" ht="30" customHeight="1" x14ac:dyDescent="0.35">
      <c r="A8" s="11">
        <v>1</v>
      </c>
      <c r="B8" s="12" t="s">
        <v>19</v>
      </c>
      <c r="C8" s="12" t="s">
        <v>20</v>
      </c>
      <c r="D8" s="11" t="s">
        <v>21</v>
      </c>
      <c r="E8" s="13">
        <v>1</v>
      </c>
      <c r="F8" s="13">
        <v>4</v>
      </c>
      <c r="G8" s="13" t="s">
        <v>22</v>
      </c>
      <c r="H8" s="14">
        <f t="shared" ref="H8:H22" si="0">$C$3+7*(E8-1)</f>
        <v>46244</v>
      </c>
      <c r="I8" s="14">
        <f t="shared" ref="I8:I22" si="1">$C$3+7*F8-3</f>
        <v>46269</v>
      </c>
      <c r="J8" s="11">
        <f t="shared" ref="J8:J22" si="2">F8-E8+1</f>
        <v>4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1:28" ht="30" customHeight="1" x14ac:dyDescent="0.35">
      <c r="A9" s="11">
        <v>2</v>
      </c>
      <c r="B9" s="12" t="s">
        <v>23</v>
      </c>
      <c r="C9" s="11" t="s">
        <v>20</v>
      </c>
      <c r="D9" s="11" t="s">
        <v>21</v>
      </c>
      <c r="E9" s="13">
        <v>5</v>
      </c>
      <c r="F9" s="13">
        <v>6</v>
      </c>
      <c r="G9" s="13" t="s">
        <v>22</v>
      </c>
      <c r="H9" s="14">
        <f t="shared" si="0"/>
        <v>46272</v>
      </c>
      <c r="I9" s="14">
        <f t="shared" si="1"/>
        <v>46283</v>
      </c>
      <c r="J9" s="11">
        <f t="shared" si="2"/>
        <v>2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1:28" ht="30" customHeight="1" x14ac:dyDescent="0.35">
      <c r="A10" s="11">
        <v>3</v>
      </c>
      <c r="B10" s="12" t="s">
        <v>24</v>
      </c>
      <c r="C10" s="11" t="s">
        <v>25</v>
      </c>
      <c r="D10" s="11" t="s">
        <v>21</v>
      </c>
      <c r="E10" s="13">
        <v>5</v>
      </c>
      <c r="F10" s="13">
        <v>7</v>
      </c>
      <c r="G10" s="13" t="s">
        <v>22</v>
      </c>
      <c r="H10" s="14">
        <f t="shared" si="0"/>
        <v>46272</v>
      </c>
      <c r="I10" s="14">
        <f t="shared" si="1"/>
        <v>46290</v>
      </c>
      <c r="J10" s="11">
        <f t="shared" si="2"/>
        <v>3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1:28" ht="30" customHeight="1" x14ac:dyDescent="0.35">
      <c r="A11" s="11">
        <v>4</v>
      </c>
      <c r="B11" s="12" t="s">
        <v>26</v>
      </c>
      <c r="C11" s="11" t="s">
        <v>25</v>
      </c>
      <c r="D11" s="11" t="s">
        <v>21</v>
      </c>
      <c r="E11" s="13">
        <v>6</v>
      </c>
      <c r="F11" s="13">
        <v>7</v>
      </c>
      <c r="G11" s="13" t="s">
        <v>22</v>
      </c>
      <c r="H11" s="14">
        <f t="shared" si="0"/>
        <v>46279</v>
      </c>
      <c r="I11" s="14">
        <f t="shared" si="1"/>
        <v>46290</v>
      </c>
      <c r="J11" s="11">
        <f t="shared" si="2"/>
        <v>2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28" ht="30" customHeight="1" x14ac:dyDescent="0.35">
      <c r="A12" s="11">
        <v>5</v>
      </c>
      <c r="B12" s="12" t="s">
        <v>27</v>
      </c>
      <c r="C12" s="11" t="s">
        <v>25</v>
      </c>
      <c r="D12" s="11" t="s">
        <v>28</v>
      </c>
      <c r="E12" s="13">
        <v>7</v>
      </c>
      <c r="F12" s="13">
        <v>10</v>
      </c>
      <c r="G12" s="13" t="s">
        <v>22</v>
      </c>
      <c r="H12" s="14">
        <f t="shared" si="0"/>
        <v>46286</v>
      </c>
      <c r="I12" s="14">
        <f t="shared" si="1"/>
        <v>46311</v>
      </c>
      <c r="J12" s="11">
        <f t="shared" si="2"/>
        <v>4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1:28" ht="30" customHeight="1" x14ac:dyDescent="0.35">
      <c r="A13" s="11">
        <v>6</v>
      </c>
      <c r="B13" s="12" t="s">
        <v>29</v>
      </c>
      <c r="C13" s="11" t="s">
        <v>30</v>
      </c>
      <c r="D13" s="11" t="s">
        <v>28</v>
      </c>
      <c r="E13" s="13">
        <v>7</v>
      </c>
      <c r="F13" s="13">
        <v>11</v>
      </c>
      <c r="G13" s="13" t="s">
        <v>31</v>
      </c>
      <c r="H13" s="14">
        <f t="shared" si="0"/>
        <v>46286</v>
      </c>
      <c r="I13" s="14">
        <f t="shared" si="1"/>
        <v>46318</v>
      </c>
      <c r="J13" s="11">
        <f t="shared" si="2"/>
        <v>5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1:28" ht="30" customHeight="1" x14ac:dyDescent="0.35">
      <c r="A14" s="11">
        <v>7</v>
      </c>
      <c r="B14" s="12" t="s">
        <v>32</v>
      </c>
      <c r="C14" s="11" t="s">
        <v>30</v>
      </c>
      <c r="D14" s="11" t="s">
        <v>28</v>
      </c>
      <c r="E14" s="13">
        <v>9</v>
      </c>
      <c r="F14" s="13">
        <v>12</v>
      </c>
      <c r="G14" s="13" t="s">
        <v>31</v>
      </c>
      <c r="H14" s="14">
        <f t="shared" si="0"/>
        <v>46300</v>
      </c>
      <c r="I14" s="14">
        <f t="shared" si="1"/>
        <v>46325</v>
      </c>
      <c r="J14" s="11">
        <f t="shared" si="2"/>
        <v>4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1:28" ht="30" customHeight="1" x14ac:dyDescent="0.35">
      <c r="A15" s="11">
        <v>8</v>
      </c>
      <c r="B15" s="12" t="s">
        <v>33</v>
      </c>
      <c r="C15" s="11" t="s">
        <v>25</v>
      </c>
      <c r="D15" s="11" t="s">
        <v>28</v>
      </c>
      <c r="E15" s="13">
        <v>10</v>
      </c>
      <c r="F15" s="13">
        <v>12</v>
      </c>
      <c r="G15" s="13" t="s">
        <v>31</v>
      </c>
      <c r="H15" s="14">
        <f t="shared" si="0"/>
        <v>46307</v>
      </c>
      <c r="I15" s="14">
        <f t="shared" si="1"/>
        <v>46325</v>
      </c>
      <c r="J15" s="11">
        <f t="shared" si="2"/>
        <v>3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30" customHeight="1" x14ac:dyDescent="0.35">
      <c r="A16" s="11">
        <v>9</v>
      </c>
      <c r="B16" s="12" t="s">
        <v>34</v>
      </c>
      <c r="C16" s="11" t="s">
        <v>20</v>
      </c>
      <c r="D16" s="11" t="s">
        <v>28</v>
      </c>
      <c r="E16" s="13">
        <v>11</v>
      </c>
      <c r="F16" s="13">
        <v>14</v>
      </c>
      <c r="G16" s="13" t="s">
        <v>31</v>
      </c>
      <c r="H16" s="14">
        <f t="shared" si="0"/>
        <v>46314</v>
      </c>
      <c r="I16" s="14">
        <f t="shared" si="1"/>
        <v>46339</v>
      </c>
      <c r="J16" s="11">
        <f t="shared" si="2"/>
        <v>4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1:28" ht="30" customHeight="1" x14ac:dyDescent="0.35">
      <c r="A17" s="11">
        <v>10</v>
      </c>
      <c r="B17" s="12" t="s">
        <v>35</v>
      </c>
      <c r="C17" s="11" t="s">
        <v>25</v>
      </c>
      <c r="D17" s="11" t="s">
        <v>28</v>
      </c>
      <c r="E17" s="13">
        <v>13</v>
      </c>
      <c r="F17" s="13">
        <v>14</v>
      </c>
      <c r="G17" s="13" t="s">
        <v>36</v>
      </c>
      <c r="H17" s="14">
        <f t="shared" si="0"/>
        <v>46328</v>
      </c>
      <c r="I17" s="14">
        <f t="shared" si="1"/>
        <v>46339</v>
      </c>
      <c r="J17" s="11">
        <f t="shared" si="2"/>
        <v>2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1:28" ht="30" customHeight="1" x14ac:dyDescent="0.35">
      <c r="A18" s="11">
        <v>11</v>
      </c>
      <c r="B18" s="12" t="s">
        <v>37</v>
      </c>
      <c r="C18" s="11" t="s">
        <v>20</v>
      </c>
      <c r="D18" s="11" t="s">
        <v>28</v>
      </c>
      <c r="E18" s="13">
        <v>13</v>
      </c>
      <c r="F18" s="13">
        <v>14</v>
      </c>
      <c r="G18" s="13" t="s">
        <v>36</v>
      </c>
      <c r="H18" s="14">
        <f t="shared" si="0"/>
        <v>46328</v>
      </c>
      <c r="I18" s="14">
        <f t="shared" si="1"/>
        <v>46339</v>
      </c>
      <c r="J18" s="11">
        <f t="shared" si="2"/>
        <v>2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1:28" ht="30" customHeight="1" x14ac:dyDescent="0.35">
      <c r="A19" s="11">
        <v>12</v>
      </c>
      <c r="B19" s="12" t="s">
        <v>38</v>
      </c>
      <c r="C19" s="11" t="s">
        <v>25</v>
      </c>
      <c r="D19" s="11" t="s">
        <v>28</v>
      </c>
      <c r="E19" s="13">
        <v>14</v>
      </c>
      <c r="F19" s="13">
        <v>15</v>
      </c>
      <c r="G19" s="13" t="s">
        <v>36</v>
      </c>
      <c r="H19" s="14">
        <f t="shared" si="0"/>
        <v>46335</v>
      </c>
      <c r="I19" s="14">
        <f t="shared" si="1"/>
        <v>46346</v>
      </c>
      <c r="J19" s="11">
        <f t="shared" si="2"/>
        <v>2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1:28" ht="30" customHeight="1" x14ac:dyDescent="0.35">
      <c r="A20" s="11">
        <v>13</v>
      </c>
      <c r="B20" s="12" t="s">
        <v>39</v>
      </c>
      <c r="C20" s="11" t="s">
        <v>20</v>
      </c>
      <c r="D20" s="11" t="s">
        <v>40</v>
      </c>
      <c r="E20" s="13">
        <v>16</v>
      </c>
      <c r="F20" s="13">
        <v>17</v>
      </c>
      <c r="G20" s="13" t="s">
        <v>36</v>
      </c>
      <c r="H20" s="14">
        <f t="shared" si="0"/>
        <v>46349</v>
      </c>
      <c r="I20" s="14">
        <f t="shared" si="1"/>
        <v>46360</v>
      </c>
      <c r="J20" s="11">
        <f t="shared" si="2"/>
        <v>2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1:28" ht="30" customHeight="1" x14ac:dyDescent="0.35">
      <c r="A21" s="11">
        <v>14</v>
      </c>
      <c r="B21" s="12" t="s">
        <v>41</v>
      </c>
      <c r="C21" s="11" t="s">
        <v>30</v>
      </c>
      <c r="D21" s="11" t="s">
        <v>40</v>
      </c>
      <c r="E21" s="13">
        <v>17</v>
      </c>
      <c r="F21" s="13">
        <v>17</v>
      </c>
      <c r="G21" s="13" t="s">
        <v>36</v>
      </c>
      <c r="H21" s="14">
        <f t="shared" si="0"/>
        <v>46356</v>
      </c>
      <c r="I21" s="14">
        <f t="shared" si="1"/>
        <v>46360</v>
      </c>
      <c r="J21" s="11">
        <f t="shared" si="2"/>
        <v>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1:28" ht="30" customHeight="1" x14ac:dyDescent="0.35">
      <c r="A22" s="11">
        <v>15</v>
      </c>
      <c r="B22" s="12" t="s">
        <v>42</v>
      </c>
      <c r="C22" s="11" t="s">
        <v>20</v>
      </c>
      <c r="D22" s="11" t="s">
        <v>40</v>
      </c>
      <c r="E22" s="13">
        <v>18</v>
      </c>
      <c r="F22" s="13">
        <v>18</v>
      </c>
      <c r="G22" s="13" t="s">
        <v>36</v>
      </c>
      <c r="H22" s="14">
        <f t="shared" si="0"/>
        <v>46363</v>
      </c>
      <c r="I22" s="14">
        <f t="shared" si="1"/>
        <v>46367</v>
      </c>
      <c r="J22" s="11">
        <f t="shared" si="2"/>
        <v>1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4" spans="1:28" x14ac:dyDescent="0.35">
      <c r="B24" s="5" t="s">
        <v>43</v>
      </c>
    </row>
    <row r="25" spans="1:28" x14ac:dyDescent="0.35">
      <c r="B25" s="16" t="s">
        <v>22</v>
      </c>
      <c r="C25" s="17"/>
    </row>
    <row r="26" spans="1:28" x14ac:dyDescent="0.35">
      <c r="B26" s="16" t="s">
        <v>31</v>
      </c>
      <c r="C26" s="18"/>
    </row>
    <row r="27" spans="1:28" x14ac:dyDescent="0.35">
      <c r="B27" s="16" t="s">
        <v>44</v>
      </c>
      <c r="C27" s="19"/>
    </row>
    <row r="28" spans="1:28" x14ac:dyDescent="0.35">
      <c r="B28" s="16" t="s">
        <v>36</v>
      </c>
      <c r="C28" s="20"/>
    </row>
    <row r="30" spans="1:28" x14ac:dyDescent="0.35">
      <c r="B30" s="7" t="s">
        <v>45</v>
      </c>
    </row>
  </sheetData>
  <mergeCells count="5">
    <mergeCell ref="K6:M6"/>
    <mergeCell ref="N6:Q6"/>
    <mergeCell ref="R6:V6"/>
    <mergeCell ref="W6:Z6"/>
    <mergeCell ref="AA6:AB6"/>
  </mergeCells>
  <conditionalFormatting sqref="K7:AB7">
    <cfRule type="expression" dxfId="5" priority="7">
      <formula>K$7=$C$4</formula>
    </cfRule>
  </conditionalFormatting>
  <conditionalFormatting sqref="K8:AB22">
    <cfRule type="expression" dxfId="4" priority="2">
      <formula>AND(K$7&gt;=$E8,K$7&lt;=$F8,$G8="Completado")</formula>
    </cfRule>
    <cfRule type="expression" dxfId="3" priority="3">
      <formula>AND(K$7&gt;=$E8,K$7&lt;=$F8,$G8="En curso")</formula>
    </cfRule>
    <cfRule type="expression" dxfId="2" priority="4">
      <formula>AND(K$7&gt;=$E8,K$7&lt;=$F8,$G8="Con retraso")</formula>
    </cfRule>
    <cfRule type="expression" dxfId="1" priority="5">
      <formula>AND(K$7&gt;=$E8,K$7&lt;=$F8,$G8="No iniciado")</formula>
    </cfRule>
    <cfRule type="expression" dxfId="0" priority="6">
      <formula>K$7=$C$4</formula>
    </cfRule>
  </conditionalFormatting>
  <dataValidations count="1">
    <dataValidation type="list" sqref="G8:G22" xr:uid="{00000000-0002-0000-0000-000000000000}">
      <formula1>"Completado,En curso,Con retraso,No iniciado"</formula1>
      <formula2>0</formula2>
    </dataValidation>
  </dataValidations>
  <pageMargins left="0.4" right="0.4" top="0.5" bottom="0.5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muriel labra</cp:lastModifiedBy>
  <cp:revision>0</cp:revision>
  <dcterms:created xsi:type="dcterms:W3CDTF">2026-10-24T00:03:42Z</dcterms:created>
  <dcterms:modified xsi:type="dcterms:W3CDTF">2026-10-24T00:39:02Z</dcterms:modified>
  <dc:language>en-US</dc:language>
</cp:coreProperties>
</file>