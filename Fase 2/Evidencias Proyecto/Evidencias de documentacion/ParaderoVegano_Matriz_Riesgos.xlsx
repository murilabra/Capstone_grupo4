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ril\Downloads\"/>
    </mc:Choice>
  </mc:AlternateContent>
  <xr:revisionPtr revIDLastSave="0" documentId="11_A81BF4969088B231608C9DABA85F15F7671C1FC3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triz de Riesg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1" l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H6" i="1"/>
  <c r="G6" i="1"/>
  <c r="G5" i="1"/>
  <c r="H5" i="1" s="1"/>
  <c r="C20" i="1" l="1"/>
  <c r="C19" i="1"/>
  <c r="C21" i="1"/>
</calcChain>
</file>

<file path=xl/sharedStrings.xml><?xml version="1.0" encoding="utf-8"?>
<sst xmlns="http://schemas.openxmlformats.org/spreadsheetml/2006/main" count="115" uniqueCount="80">
  <si>
    <t>Paradero Vegano – Matriz de Riesgos</t>
  </si>
  <si>
    <t>Versión 1.0 · Severidad = Probabilidad × Impacto (escala 1–5) · Alto ≥ 15 · Medio 8–14 · Bajo &lt; 8</t>
  </si>
  <si>
    <t>ID</t>
  </si>
  <si>
    <t>Riesgo</t>
  </si>
  <si>
    <t>Categoría</t>
  </si>
  <si>
    <t>Causa / origen</t>
  </si>
  <si>
    <t>Prob. (1-5)</t>
  </si>
  <si>
    <t>Impacto (1-5)</t>
  </si>
  <si>
    <t>Severidad</t>
  </si>
  <si>
    <t>Nivel</t>
  </si>
  <si>
    <t>Estrategia</t>
  </si>
  <si>
    <t>Plan de respuesta</t>
  </si>
  <si>
    <t>Responsable</t>
  </si>
  <si>
    <t>Estado</t>
  </si>
  <si>
    <t>R01</t>
  </si>
  <si>
    <t>Alcance demasiado amplio para el tiempo disponible</t>
  </si>
  <si>
    <t>Gestión</t>
  </si>
  <si>
    <t>Muchos módulos (IA, mapas, BI, suscripción, recetas) en 18 semanas.</t>
  </si>
  <si>
    <t>Mitigar</t>
  </si>
  <si>
    <t>Priorizar funcionalidades críticas, trabajar en sprints cortos y revisar el alcance en cada reunión semanal.</t>
  </si>
  <si>
    <t>Muriel</t>
  </si>
  <si>
    <t>En seguimiento</t>
  </si>
  <si>
    <t>R02</t>
  </si>
  <si>
    <t>Baja precisión del módulo de IA con fotos de baja calidad</t>
  </si>
  <si>
    <t>Técnico</t>
  </si>
  <si>
    <t>Etiquetas borrosas, mala iluminación o ingredientes poco comunes.</t>
  </si>
  <si>
    <t>Acotar a categorías prioritarias de ingredientes, mostrar nivel de confianza y complementar con confirmación colaborativa.</t>
  </si>
  <si>
    <t>R03</t>
  </si>
  <si>
    <t>Resistencia de comercios a participar o mantener información actualizada</t>
  </si>
  <si>
    <t>Externo</t>
  </si>
  <si>
    <t>Falta de tiempo o de interés de pequeños comercios.</t>
  </si>
  <si>
    <t>Contactarlos con antelación y mostrarles el valor de la analítica y la visibilidad que ofrece la plataforma.</t>
  </si>
  <si>
    <t>Muriel y Manuel</t>
  </si>
  <si>
    <t>Abierto</t>
  </si>
  <si>
    <t>R04</t>
  </si>
  <si>
    <t>Curva de aprendizaje de tecnologías nuevas</t>
  </si>
  <si>
    <t>Uso de frameworks y servicios que el equipo no domina del todo.</t>
  </si>
  <si>
    <t>Apoyarse en documentación oficial y tutoriales, y hacer pruebas de concepto pequeñas antes de integrar.</t>
  </si>
  <si>
    <t>R05</t>
  </si>
  <si>
    <t>Sobrecarga de trabajo y poca disponibilidad de tiempo</t>
  </si>
  <si>
    <t>Recursos</t>
  </si>
  <si>
    <t>Otros compromisos académicos y personales del equipo.</t>
  </si>
  <si>
    <t>Distribuir la carga de forma pareja entre semanas, reservar horas fijas de trabajo y anticipar las entregas.</t>
  </si>
  <si>
    <t>R06</t>
  </si>
  <si>
    <t>Registro insuficiente del avance en el repositorio</t>
  </si>
  <si>
    <t>Trabajo local sin subir cambios con frecuencia.</t>
  </si>
  <si>
    <t>Commits frecuentes con ramas por integrante, revisión semanal del repositorio y carpeta de documentación ordenada.</t>
  </si>
  <si>
    <t>R07</t>
  </si>
  <si>
    <t>Dependencia de APIs y servicios en la nube</t>
  </si>
  <si>
    <t>Cambios de planes gratuitos, límites de uso o costos.</t>
  </si>
  <si>
    <t>Elegir servicios con plan gratuito estable y aislar las integraciones para poder reemplazarlas.</t>
  </si>
  <si>
    <t>Manuel</t>
  </si>
  <si>
    <t>R08</t>
  </si>
  <si>
    <t>Evidencia colaborativa falsa o desactualizada</t>
  </si>
  <si>
    <t>Producto</t>
  </si>
  <si>
    <t>Usuarios o comercios suben información incorrecta.</t>
  </si>
  <si>
    <t>Mostrar fecha y nivel de confianza, permitir reportes de usuarios y moderar la evidencia reportada.</t>
  </si>
  <si>
    <t>R09</t>
  </si>
  <si>
    <t>Protección de datos personales y de ubicación</t>
  </si>
  <si>
    <t>Legal</t>
  </si>
  <si>
    <t>Uso de geolocalización y datos de cuentas de usuarios y comercios.</t>
  </si>
  <si>
    <t>Recolectar solo los datos necesarios, pedir consentimiento y almacenar la información de forma segura según la normativa chilena.</t>
  </si>
  <si>
    <t>R10</t>
  </si>
  <si>
    <t>Complejidad de la pasarela de pago</t>
  </si>
  <si>
    <t>Integración de pagos y suscripciones recurrentes.</t>
  </si>
  <si>
    <t>Usar el entorno de pruebas de la pasarela y acotar el flujo a los planes definidos.</t>
  </si>
  <si>
    <t>R11</t>
  </si>
  <si>
    <t>Indisponibilidad temporal de un integrante</t>
  </si>
  <si>
    <t>Enfermedad u otros imprevistos.</t>
  </si>
  <si>
    <t>Documentar las decisiones, compartir el conocimiento técnico y hacer revisiones cruzadas del trabajo.</t>
  </si>
  <si>
    <t>R12</t>
  </si>
  <si>
    <t>Pérdida de código o datos</t>
  </si>
  <si>
    <t>Fallas de equipos o eliminación accidental de archivos.</t>
  </si>
  <si>
    <t>Mantener el repositorio remoto al día y respaldos periódicos de la base de datos.</t>
  </si>
  <si>
    <t>Controlado</t>
  </si>
  <si>
    <t>Resumen</t>
  </si>
  <si>
    <t>Riesgos de nivel Alto</t>
  </si>
  <si>
    <t>Riesgos de nivel Medio</t>
  </si>
  <si>
    <t>Riesgos de nivel Bajo</t>
  </si>
  <si>
    <t>Probabilidad e Impacto (celdas azules) son estimaciones del equipo y se revisan en cada reunión de seguimiento. Escala: 1 = muy bajo, 5 = muy alto.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</si>
</sst>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F5F3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i/>
      <sz val="9"/>
      <color rgb="FF555555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5F3F"/>
        <bgColor rgb="FF555555"/>
      </patternFill>
    </fill>
  </fills>
  <borders count="2">
    <border>
      <left/>
      <right/>
      <top/>
      <bottom/>
      <diagonal/>
    </border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3">
    <dxf>
      <font>
        <b/>
        <name val="Arial"/>
        <charset val="1"/>
      </font>
      <fill>
        <patternFill>
          <bgColor rgb="FF8FC9A3"/>
        </patternFill>
      </fill>
    </dxf>
    <dxf>
      <font>
        <b/>
        <name val="Arial"/>
        <charset val="1"/>
      </font>
      <fill>
        <patternFill>
          <bgColor rgb="FFF2B134"/>
        </patternFill>
      </fill>
    </dxf>
    <dxf>
      <font>
        <b/>
        <color rgb="FFFFFFFF"/>
        <name val="Arial"/>
        <charset val="1"/>
      </font>
      <fill>
        <patternFill>
          <bgColor rgb="FFD9534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FC9A3"/>
      <rgbColor rgb="FFFF99CC"/>
      <rgbColor rgb="FFCC99FF"/>
      <rgbColor rgb="FFFFCC99"/>
      <rgbColor rgb="FF3366FF"/>
      <rgbColor rgb="FF33CCCC"/>
      <rgbColor rgb="FF99CC00"/>
      <rgbColor rgb="FFFFCC00"/>
      <rgbColor rgb="FFF2B134"/>
      <rgbColor rgb="FFD9534F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showGridLines="0" tabSelected="1" zoomScale="80" zoomScaleNormal="100" workbookViewId="0">
      <pane xSplit="2" ySplit="4" topLeftCell="C8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328125" defaultRowHeight="14.5" x14ac:dyDescent="0.35"/>
  <cols>
    <col min="1" max="1" width="6" customWidth="1"/>
    <col min="2" max="2" width="38" customWidth="1"/>
    <col min="3" max="3" width="12" customWidth="1"/>
    <col min="4" max="4" width="36" customWidth="1"/>
    <col min="5" max="6" width="9" customWidth="1"/>
    <col min="7" max="7" width="10" customWidth="1"/>
    <col min="8" max="8" width="9" customWidth="1"/>
    <col min="9" max="9" width="11" customWidth="1"/>
    <col min="10" max="10" width="52" customWidth="1"/>
    <col min="11" max="11" width="16" customWidth="1"/>
    <col min="12" max="12" width="14" customWidth="1"/>
  </cols>
  <sheetData>
    <row r="1" spans="1:12" ht="20" x14ac:dyDescent="0.4">
      <c r="A1" s="1" t="s">
        <v>0</v>
      </c>
    </row>
    <row r="2" spans="1:12" x14ac:dyDescent="0.35">
      <c r="A2" s="2" t="s">
        <v>1</v>
      </c>
    </row>
    <row r="4" spans="1:12" ht="30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ht="48" customHeight="1" x14ac:dyDescent="0.35">
      <c r="A5" s="4" t="s">
        <v>14</v>
      </c>
      <c r="B5" s="5" t="s">
        <v>15</v>
      </c>
      <c r="C5" s="4" t="s">
        <v>16</v>
      </c>
      <c r="D5" s="5" t="s">
        <v>17</v>
      </c>
      <c r="E5" s="6">
        <v>3</v>
      </c>
      <c r="F5" s="6">
        <v>4</v>
      </c>
      <c r="G5" s="4">
        <f t="shared" ref="G5:G16" si="0">E5*F5</f>
        <v>12</v>
      </c>
      <c r="H5" s="4" t="str">
        <f t="shared" ref="H5:H16" si="1">IF(G5&gt;=15,"Alto",IF(G5&gt;=8,"Medio","Bajo"))</f>
        <v>Medio</v>
      </c>
      <c r="I5" s="4" t="s">
        <v>18</v>
      </c>
      <c r="J5" s="5" t="s">
        <v>19</v>
      </c>
      <c r="K5" s="4" t="s">
        <v>20</v>
      </c>
      <c r="L5" s="4" t="s">
        <v>21</v>
      </c>
    </row>
    <row r="6" spans="1:12" ht="48" customHeight="1" x14ac:dyDescent="0.35">
      <c r="A6" s="4" t="s">
        <v>22</v>
      </c>
      <c r="B6" s="5" t="s">
        <v>23</v>
      </c>
      <c r="C6" s="4" t="s">
        <v>24</v>
      </c>
      <c r="D6" s="5" t="s">
        <v>25</v>
      </c>
      <c r="E6" s="6">
        <v>4</v>
      </c>
      <c r="F6" s="6">
        <v>4</v>
      </c>
      <c r="G6" s="4">
        <f t="shared" si="0"/>
        <v>16</v>
      </c>
      <c r="H6" s="4" t="str">
        <f t="shared" si="1"/>
        <v>Alto</v>
      </c>
      <c r="I6" s="4" t="s">
        <v>18</v>
      </c>
      <c r="J6" s="5" t="s">
        <v>26</v>
      </c>
      <c r="K6" s="4" t="s">
        <v>20</v>
      </c>
      <c r="L6" s="4" t="s">
        <v>21</v>
      </c>
    </row>
    <row r="7" spans="1:12" ht="48" customHeight="1" x14ac:dyDescent="0.35">
      <c r="A7" s="4" t="s">
        <v>27</v>
      </c>
      <c r="B7" s="5" t="s">
        <v>28</v>
      </c>
      <c r="C7" s="4" t="s">
        <v>29</v>
      </c>
      <c r="D7" s="5" t="s">
        <v>30</v>
      </c>
      <c r="E7" s="6">
        <v>3</v>
      </c>
      <c r="F7" s="6">
        <v>3</v>
      </c>
      <c r="G7" s="4">
        <f t="shared" si="0"/>
        <v>9</v>
      </c>
      <c r="H7" s="4" t="str">
        <f t="shared" si="1"/>
        <v>Medio</v>
      </c>
      <c r="I7" s="4" t="s">
        <v>18</v>
      </c>
      <c r="J7" s="5" t="s">
        <v>31</v>
      </c>
      <c r="K7" s="4" t="s">
        <v>32</v>
      </c>
      <c r="L7" s="4" t="s">
        <v>33</v>
      </c>
    </row>
    <row r="8" spans="1:12" ht="48" customHeight="1" x14ac:dyDescent="0.35">
      <c r="A8" s="4" t="s">
        <v>34</v>
      </c>
      <c r="B8" s="5" t="s">
        <v>35</v>
      </c>
      <c r="C8" s="4" t="s">
        <v>24</v>
      </c>
      <c r="D8" s="5" t="s">
        <v>36</v>
      </c>
      <c r="E8" s="6">
        <v>3</v>
      </c>
      <c r="F8" s="6">
        <v>3</v>
      </c>
      <c r="G8" s="4">
        <f t="shared" si="0"/>
        <v>9</v>
      </c>
      <c r="H8" s="4" t="str">
        <f t="shared" si="1"/>
        <v>Medio</v>
      </c>
      <c r="I8" s="4" t="s">
        <v>18</v>
      </c>
      <c r="J8" s="5" t="s">
        <v>37</v>
      </c>
      <c r="K8" s="4" t="s">
        <v>32</v>
      </c>
      <c r="L8" s="4" t="s">
        <v>21</v>
      </c>
    </row>
    <row r="9" spans="1:12" ht="48" customHeight="1" x14ac:dyDescent="0.35">
      <c r="A9" s="4" t="s">
        <v>38</v>
      </c>
      <c r="B9" s="5" t="s">
        <v>39</v>
      </c>
      <c r="C9" s="4" t="s">
        <v>40</v>
      </c>
      <c r="D9" s="5" t="s">
        <v>41</v>
      </c>
      <c r="E9" s="6">
        <v>4</v>
      </c>
      <c r="F9" s="6">
        <v>3</v>
      </c>
      <c r="G9" s="4">
        <f t="shared" si="0"/>
        <v>12</v>
      </c>
      <c r="H9" s="4" t="str">
        <f t="shared" si="1"/>
        <v>Medio</v>
      </c>
      <c r="I9" s="4" t="s">
        <v>18</v>
      </c>
      <c r="J9" s="5" t="s">
        <v>42</v>
      </c>
      <c r="K9" s="4" t="s">
        <v>32</v>
      </c>
      <c r="L9" s="4" t="s">
        <v>21</v>
      </c>
    </row>
    <row r="10" spans="1:12" ht="48" customHeight="1" x14ac:dyDescent="0.35">
      <c r="A10" s="4" t="s">
        <v>43</v>
      </c>
      <c r="B10" s="5" t="s">
        <v>44</v>
      </c>
      <c r="C10" s="4" t="s">
        <v>16</v>
      </c>
      <c r="D10" s="5" t="s">
        <v>45</v>
      </c>
      <c r="E10" s="6">
        <v>4</v>
      </c>
      <c r="F10" s="6">
        <v>3</v>
      </c>
      <c r="G10" s="4">
        <f t="shared" si="0"/>
        <v>12</v>
      </c>
      <c r="H10" s="4" t="str">
        <f t="shared" si="1"/>
        <v>Medio</v>
      </c>
      <c r="I10" s="4" t="s">
        <v>18</v>
      </c>
      <c r="J10" s="5" t="s">
        <v>46</v>
      </c>
      <c r="K10" s="4" t="s">
        <v>32</v>
      </c>
      <c r="L10" s="4" t="s">
        <v>33</v>
      </c>
    </row>
    <row r="11" spans="1:12" ht="48" customHeight="1" x14ac:dyDescent="0.35">
      <c r="A11" s="4" t="s">
        <v>47</v>
      </c>
      <c r="B11" s="5" t="s">
        <v>48</v>
      </c>
      <c r="C11" s="4" t="s">
        <v>29</v>
      </c>
      <c r="D11" s="5" t="s">
        <v>49</v>
      </c>
      <c r="E11" s="6">
        <v>2</v>
      </c>
      <c r="F11" s="6">
        <v>3</v>
      </c>
      <c r="G11" s="4">
        <f t="shared" si="0"/>
        <v>6</v>
      </c>
      <c r="H11" s="4" t="str">
        <f t="shared" si="1"/>
        <v>Bajo</v>
      </c>
      <c r="I11" s="4" t="s">
        <v>18</v>
      </c>
      <c r="J11" s="5" t="s">
        <v>50</v>
      </c>
      <c r="K11" s="4" t="s">
        <v>51</v>
      </c>
      <c r="L11" s="4" t="s">
        <v>33</v>
      </c>
    </row>
    <row r="12" spans="1:12" ht="48" customHeight="1" x14ac:dyDescent="0.35">
      <c r="A12" s="4" t="s">
        <v>52</v>
      </c>
      <c r="B12" s="5" t="s">
        <v>53</v>
      </c>
      <c r="C12" s="4" t="s">
        <v>54</v>
      </c>
      <c r="D12" s="5" t="s">
        <v>55</v>
      </c>
      <c r="E12" s="6">
        <v>3</v>
      </c>
      <c r="F12" s="6">
        <v>4</v>
      </c>
      <c r="G12" s="4">
        <f t="shared" si="0"/>
        <v>12</v>
      </c>
      <c r="H12" s="4" t="str">
        <f t="shared" si="1"/>
        <v>Medio</v>
      </c>
      <c r="I12" s="4" t="s">
        <v>18</v>
      </c>
      <c r="J12" s="5" t="s">
        <v>56</v>
      </c>
      <c r="K12" s="4" t="s">
        <v>51</v>
      </c>
      <c r="L12" s="4" t="s">
        <v>33</v>
      </c>
    </row>
    <row r="13" spans="1:12" ht="48" customHeight="1" x14ac:dyDescent="0.35">
      <c r="A13" s="4" t="s">
        <v>57</v>
      </c>
      <c r="B13" s="5" t="s">
        <v>58</v>
      </c>
      <c r="C13" s="4" t="s">
        <v>59</v>
      </c>
      <c r="D13" s="5" t="s">
        <v>60</v>
      </c>
      <c r="E13" s="6">
        <v>2</v>
      </c>
      <c r="F13" s="6">
        <v>4</v>
      </c>
      <c r="G13" s="4">
        <f t="shared" si="0"/>
        <v>8</v>
      </c>
      <c r="H13" s="4" t="str">
        <f t="shared" si="1"/>
        <v>Medio</v>
      </c>
      <c r="I13" s="4" t="s">
        <v>18</v>
      </c>
      <c r="J13" s="5" t="s">
        <v>61</v>
      </c>
      <c r="K13" s="4" t="s">
        <v>51</v>
      </c>
      <c r="L13" s="4" t="s">
        <v>33</v>
      </c>
    </row>
    <row r="14" spans="1:12" ht="48" customHeight="1" x14ac:dyDescent="0.35">
      <c r="A14" s="4" t="s">
        <v>62</v>
      </c>
      <c r="B14" s="5" t="s">
        <v>63</v>
      </c>
      <c r="C14" s="4" t="s">
        <v>24</v>
      </c>
      <c r="D14" s="5" t="s">
        <v>64</v>
      </c>
      <c r="E14" s="6">
        <v>2</v>
      </c>
      <c r="F14" s="6">
        <v>3</v>
      </c>
      <c r="G14" s="4">
        <f t="shared" si="0"/>
        <v>6</v>
      </c>
      <c r="H14" s="4" t="str">
        <f t="shared" si="1"/>
        <v>Bajo</v>
      </c>
      <c r="I14" s="4" t="s">
        <v>18</v>
      </c>
      <c r="J14" s="5" t="s">
        <v>65</v>
      </c>
      <c r="K14" s="4" t="s">
        <v>51</v>
      </c>
      <c r="L14" s="4" t="s">
        <v>33</v>
      </c>
    </row>
    <row r="15" spans="1:12" ht="48" customHeight="1" x14ac:dyDescent="0.35">
      <c r="A15" s="4" t="s">
        <v>66</v>
      </c>
      <c r="B15" s="5" t="s">
        <v>67</v>
      </c>
      <c r="C15" s="4" t="s">
        <v>40</v>
      </c>
      <c r="D15" s="5" t="s">
        <v>68</v>
      </c>
      <c r="E15" s="6">
        <v>2</v>
      </c>
      <c r="F15" s="6">
        <v>4</v>
      </c>
      <c r="G15" s="4">
        <f t="shared" si="0"/>
        <v>8</v>
      </c>
      <c r="H15" s="4" t="str">
        <f t="shared" si="1"/>
        <v>Medio</v>
      </c>
      <c r="I15" s="4" t="s">
        <v>18</v>
      </c>
      <c r="J15" s="5" t="s">
        <v>69</v>
      </c>
      <c r="K15" s="4" t="s">
        <v>32</v>
      </c>
      <c r="L15" s="4" t="s">
        <v>33</v>
      </c>
    </row>
    <row r="16" spans="1:12" ht="48" customHeight="1" x14ac:dyDescent="0.35">
      <c r="A16" s="4" t="s">
        <v>70</v>
      </c>
      <c r="B16" s="5" t="s">
        <v>71</v>
      </c>
      <c r="C16" s="4" t="s">
        <v>24</v>
      </c>
      <c r="D16" s="5" t="s">
        <v>72</v>
      </c>
      <c r="E16" s="6">
        <v>1</v>
      </c>
      <c r="F16" s="6">
        <v>5</v>
      </c>
      <c r="G16" s="4">
        <f t="shared" si="0"/>
        <v>5</v>
      </c>
      <c r="H16" s="4" t="str">
        <f t="shared" si="1"/>
        <v>Bajo</v>
      </c>
      <c r="I16" s="4" t="s">
        <v>18</v>
      </c>
      <c r="J16" s="5" t="s">
        <v>73</v>
      </c>
      <c r="K16" s="4" t="s">
        <v>51</v>
      </c>
      <c r="L16" s="4" t="s">
        <v>74</v>
      </c>
    </row>
    <row r="18" spans="2:3" x14ac:dyDescent="0.35">
      <c r="B18" s="7" t="s">
        <v>75</v>
      </c>
    </row>
    <row r="19" spans="2:3" x14ac:dyDescent="0.35">
      <c r="B19" s="8" t="s">
        <v>76</v>
      </c>
      <c r="C19" s="4">
        <f>COUNTIF(H5:H16,"Alto")</f>
        <v>1</v>
      </c>
    </row>
    <row r="20" spans="2:3" x14ac:dyDescent="0.35">
      <c r="B20" s="8" t="s">
        <v>77</v>
      </c>
      <c r="C20" s="4">
        <f>COUNTIF(H5:H16,"Medio")</f>
        <v>8</v>
      </c>
    </row>
    <row r="21" spans="2:3" x14ac:dyDescent="0.35">
      <c r="B21" s="8" t="s">
        <v>78</v>
      </c>
      <c r="C21" s="4">
        <f>COUNTIF(H5:H16,"Bajo")</f>
        <v>3</v>
      </c>
    </row>
    <row r="23" spans="2:3" x14ac:dyDescent="0.35">
      <c r="B23" s="9" t="s">
        <v>79</v>
      </c>
    </row>
  </sheetData>
  <conditionalFormatting sqref="H5:H16">
    <cfRule type="expression" dxfId="2" priority="2">
      <formula>H5="Alto"</formula>
    </cfRule>
    <cfRule type="expression" dxfId="1" priority="3">
      <formula>H5="Medio"</formula>
    </cfRule>
    <cfRule type="expression" dxfId="0" priority="4">
      <formula>H5="Bajo"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muriel labra</cp:lastModifiedBy>
  <cp:revision>0</cp:revision>
  <dcterms:created xsi:type="dcterms:W3CDTF">2026-10-24T00:03:42Z</dcterms:created>
  <dcterms:modified xsi:type="dcterms:W3CDTF">2026-10-24T00:35:49Z</dcterms:modified>
  <dc:language>en-US</dc:language>
</cp:coreProperties>
</file>